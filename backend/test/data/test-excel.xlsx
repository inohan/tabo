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9C59C852-E5F0-4F3A-AD80-4E0C291EDAB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able_sheet" sheetId="1" r:id="rId1"/>
    <sheet name="table_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A6" i="1"/>
  <c r="A3" i="2"/>
  <c r="B5" i="1"/>
  <c r="B4" i="1"/>
  <c r="B3" i="1"/>
  <c r="B2" i="1"/>
</calcChain>
</file>

<file path=xl/sharedStrings.xml><?xml version="1.0" encoding="utf-8"?>
<sst xmlns="http://schemas.openxmlformats.org/spreadsheetml/2006/main" count="37" uniqueCount="31">
  <si>
    <t>reference</t>
  </si>
  <si>
    <t>break_categories</t>
  </si>
  <si>
    <t>institutions</t>
  </si>
  <si>
    <t>speaker 1 name</t>
  </si>
  <si>
    <t>speaker 1 email</t>
  </si>
  <si>
    <t>speaker 1 categories</t>
  </si>
  <si>
    <t>speaker 2 name</t>
  </si>
  <si>
    <t>speaker 2 categories</t>
  </si>
  <si>
    <t>Team A</t>
  </si>
  <si>
    <t>Institution A</t>
  </si>
  <si>
    <t>Speaker A1</t>
  </si>
  <si>
    <t>speakera1@example.com</t>
  </si>
  <si>
    <t>open</t>
  </si>
  <si>
    <t>Speaker A2</t>
  </si>
  <si>
    <t>Team B</t>
  </si>
  <si>
    <t>Speaker B1</t>
  </si>
  <si>
    <t>speakerb1@example.com</t>
  </si>
  <si>
    <t>open, esl</t>
  </si>
  <si>
    <t>Speaker B2</t>
  </si>
  <si>
    <t>Team C</t>
  </si>
  <si>
    <t>Speaker C1</t>
  </si>
  <si>
    <t>speakerc1@example.com</t>
  </si>
  <si>
    <t>Speaker C2</t>
  </si>
  <si>
    <r>
      <rPr>
        <sz val="11"/>
        <color rgb="FF000000"/>
        <rFont val="游ゴシック"/>
      </rPr>
      <t xml:space="preserve">Team </t>
    </r>
    <r>
      <rPr>
        <b/>
        <i/>
        <u/>
        <sz val="11"/>
        <color rgb="FFFF0000"/>
        <rFont val="游ゴシック"/>
      </rPr>
      <t>D</t>
    </r>
  </si>
  <si>
    <t>Speaker D</t>
  </si>
  <si>
    <t>speakerd1@example.com</t>
  </si>
  <si>
    <t>Speaker D2</t>
  </si>
  <si>
    <t>日本語</t>
  </si>
  <si>
    <t>english</t>
  </si>
  <si>
    <t>merged</t>
  </si>
  <si>
    <r>
      <rPr>
        <sz val="11"/>
        <color rgb="FF000000"/>
        <rFont val="Calibri"/>
        <scheme val="minor"/>
      </rPr>
      <t>s</t>
    </r>
    <r>
      <rPr>
        <b/>
        <i/>
        <sz val="11"/>
        <color rgb="FFED7D31"/>
        <rFont val="Calibri"/>
        <scheme val="minor"/>
      </rPr>
      <t>t</t>
    </r>
    <r>
      <rPr>
        <sz val="11"/>
        <color rgb="FF000000"/>
        <rFont val="Calibri"/>
        <scheme val="minor"/>
      </rPr>
      <t>y</t>
    </r>
    <r>
      <rPr>
        <sz val="11"/>
        <color rgb="FFFF0000"/>
        <rFont val="Calibri"/>
        <scheme val="minor"/>
      </rPr>
      <t>le</t>
    </r>
    <r>
      <rPr>
        <sz val="11"/>
        <color rgb="FF000000"/>
        <rFont val="Calibri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</si>
</sst>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rgb="FF000000"/>
      <name val="游ゴシック"/>
    </font>
    <font>
      <b/>
      <i/>
      <u/>
      <sz val="11"/>
      <color rgb="FFFF0000"/>
      <name val="游ゴシック"/>
    </font>
    <font>
      <sz val="11"/>
      <color rgb="FF000000"/>
      <name val="Calibri"/>
      <scheme val="minor"/>
    </font>
    <font>
      <b/>
      <i/>
      <sz val="11"/>
      <color rgb="FFED7D31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FAFEB-B904-42D9-9B26-930E67E86C76}" name="テーブル1" displayName="テーブル1" ref="A1:H6" totalsRowCount="1">
  <autoFilter ref="A1:H5" xr:uid="{109FAFEB-B904-42D9-9B26-930E67E86C76}"/>
  <tableColumns count="8">
    <tableColumn id="1" xr3:uid="{DF5C94BC-1513-4BCE-BD27-906361C56E25}" name="reference" totalsRowFunction="custom">
      <totalsRowFormula>COUNTA(テーブル1[reference])</totalsRowFormula>
    </tableColumn>
    <tableColumn id="2" xr3:uid="{0F23B52C-7AFF-4A04-9F00-16D13779E0CB}" name="break_categories">
      <calculatedColumnFormula>IF(AND(F2="open", H2="open"), "open", "open, esl")</calculatedColumnFormula>
    </tableColumn>
    <tableColumn id="3" xr3:uid="{E8EA87EB-DA81-4B62-80BF-5CE35B2EEBD0}" name="institutions" totalsRowFunction="custom">
      <totalsRowFormula>COUNTA(_xlfn.UNIQUE(テーブル1[institutions]))</totalsRowFormula>
    </tableColumn>
    <tableColumn id="4" xr3:uid="{8D2B055D-D4B6-45CB-9789-82C7F5ABF9A2}" name="speaker 1 name"/>
    <tableColumn id="5" xr3:uid="{82D52C7A-D5F3-47EA-A922-65940715BAAE}" name="speaker 1 email" dataCellStyle="Hyperlink" totalsRowCellStyle="Hyperlink"/>
    <tableColumn id="6" xr3:uid="{D1941992-61D5-4138-9F28-A175F1F81873}" name="speaker 1 categories"/>
    <tableColumn id="7" xr3:uid="{29CCADD5-872C-48A1-A527-9591F4AC3BDA}" name="speaker 2 name"/>
    <tableColumn id="8" xr3:uid="{9584084C-0841-40EF-BEAE-7381FA3FC076}" name="speaker 2 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peakerc1@example.com" TargetMode="External"/><Relationship Id="rId2" Type="http://schemas.openxmlformats.org/officeDocument/2006/relationships/hyperlink" Target="mailto:speakerb1@example.com" TargetMode="External"/><Relationship Id="rId1" Type="http://schemas.openxmlformats.org/officeDocument/2006/relationships/hyperlink" Target="mailto:speakera1@example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speakerd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A2" sqref="A2"/>
    </sheetView>
  </sheetViews>
  <sheetFormatPr defaultRowHeight="15.75" customHeight="1"/>
  <cols>
    <col min="1" max="1" width="12.625" bestFit="1" customWidth="1"/>
    <col min="2" max="2" width="20.125" bestFit="1" customWidth="1"/>
    <col min="3" max="3" width="14.375" bestFit="1" customWidth="1"/>
    <col min="4" max="4" width="18.875" bestFit="1" customWidth="1"/>
    <col min="5" max="5" width="25.125" bestFit="1" customWidth="1"/>
    <col min="6" max="6" width="23.625" bestFit="1" customWidth="1"/>
    <col min="7" max="7" width="18.875" bestFit="1" customWidth="1"/>
    <col min="8" max="8" width="23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tr">
        <f>IF(AND(F2="open", H2="open"), "open", "open, esl")</f>
        <v>open</v>
      </c>
      <c r="C2" s="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12</v>
      </c>
    </row>
    <row r="3" spans="1:8">
      <c r="A3" t="s">
        <v>14</v>
      </c>
      <c r="B3" t="str">
        <f>IF(AND(F3="open", H3="open"), "open", "open, esl")</f>
        <v>open, esl</v>
      </c>
      <c r="C3" s="2"/>
      <c r="D3" t="s">
        <v>15</v>
      </c>
      <c r="E3" s="1" t="s">
        <v>16</v>
      </c>
      <c r="F3" t="s">
        <v>17</v>
      </c>
      <c r="G3" t="s">
        <v>18</v>
      </c>
      <c r="H3" t="s">
        <v>17</v>
      </c>
    </row>
    <row r="4" spans="1:8" ht="15.75" customHeight="1">
      <c r="A4" t="s">
        <v>19</v>
      </c>
      <c r="B4" t="str">
        <f>IF(AND(F4="open", H4="open"), "open", "open, esl")</f>
        <v>open</v>
      </c>
      <c r="D4" t="s">
        <v>20</v>
      </c>
      <c r="E4" s="1" t="s">
        <v>21</v>
      </c>
      <c r="F4" t="s">
        <v>12</v>
      </c>
      <c r="G4" t="s">
        <v>22</v>
      </c>
      <c r="H4" t="s">
        <v>12</v>
      </c>
    </row>
    <row r="5" spans="1:8" ht="15.75" customHeight="1">
      <c r="A5" s="3" t="s">
        <v>23</v>
      </c>
      <c r="B5" t="str">
        <f>IF(AND(F5="open", H5="open"), "open", "open, esl")</f>
        <v>open, esl</v>
      </c>
      <c r="D5" t="s">
        <v>24</v>
      </c>
      <c r="E5" s="1" t="s">
        <v>25</v>
      </c>
      <c r="F5" t="s">
        <v>17</v>
      </c>
      <c r="G5" t="s">
        <v>26</v>
      </c>
      <c r="H5" t="s">
        <v>17</v>
      </c>
    </row>
    <row r="6" spans="1:8" ht="15.75" customHeight="1">
      <c r="A6">
        <f>COUNTA(テーブル1[reference])</f>
        <v>4</v>
      </c>
      <c r="C6">
        <f>COUNTA(_xlfn.UNIQUE(テーブル1[institutions]))</f>
        <v>2</v>
      </c>
      <c r="E6" s="1"/>
    </row>
  </sheetData>
  <hyperlinks>
    <hyperlink ref="E2" r:id="rId1" xr:uid="{7A361312-3C2A-4057-BF75-7AE82E3AB4A5}"/>
    <hyperlink ref="E3" r:id="rId2" xr:uid="{2C66D035-D29E-4998-9AD2-772F3949CDDD}"/>
    <hyperlink ref="E4" r:id="rId3" xr:uid="{9A741175-697C-4D53-A07D-FFD3569E13FA}"/>
    <hyperlink ref="E5" r:id="rId4" xr:uid="{C3869BA3-E2E1-43D7-AA86-86675796734C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625A-0A0E-431C-88C4-22BF9333736E}">
  <dimension ref="A1:A10"/>
  <sheetViews>
    <sheetView tabSelected="1" workbookViewId="0">
      <selection activeCell="D11" sqref="D11"/>
    </sheetView>
  </sheetViews>
  <sheetFormatPr defaultRowHeight="15.75"/>
  <cols>
    <col min="1" max="1" width="9.75" bestFit="1" customWidth="1"/>
  </cols>
  <sheetData>
    <row r="1" spans="1:1">
      <c r="A1" t="b">
        <v>1</v>
      </c>
    </row>
    <row r="2" spans="1:1">
      <c r="A2" t="b">
        <v>0</v>
      </c>
    </row>
    <row r="3" spans="1:1">
      <c r="A3" t="e">
        <f>1/0</f>
        <v>#DIV/0!</v>
      </c>
    </row>
    <row r="4" spans="1:1">
      <c r="A4" s="4">
        <v>45689</v>
      </c>
    </row>
    <row r="5" spans="1:1">
      <c r="A5" t="s">
        <v>27</v>
      </c>
    </row>
    <row r="6" spans="1:1">
      <c r="A6">
        <v>0</v>
      </c>
    </row>
    <row r="7" spans="1:1">
      <c r="A7" t="s">
        <v>28</v>
      </c>
    </row>
    <row r="8" spans="1:1">
      <c r="A8" s="5" t="s">
        <v>29</v>
      </c>
    </row>
    <row r="9" spans="1:1">
      <c r="A9" s="5"/>
    </row>
    <row r="10" spans="1:1">
      <c r="A10" s="6" t="s">
        <v>30</v>
      </c>
    </row>
  </sheetData>
  <mergeCells count="1"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2026-08-21T11:35:05Z</dcterms:created>
  <dcterms:modified xsi:type="dcterms:W3CDTF">2026-08-22T04:21:39Z</dcterms:modified>
  <cp:category/>
  <cp:contentStatus/>
</cp:coreProperties>
</file>